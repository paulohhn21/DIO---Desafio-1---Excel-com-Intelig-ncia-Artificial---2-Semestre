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paulo\OneDrive\Área de Trabalho\Curso Excel\Dio\Desafio 1\"/>
    </mc:Choice>
  </mc:AlternateContent>
  <xr:revisionPtr revIDLastSave="0" documentId="13_ncr:1_{4CD8BD34-EFE5-4297-9EDC-E3F59F1EDB7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imulador" sheetId="1" r:id="rId1"/>
    <sheet name="Chaves_Perfil_Investidor" sheetId="2" r:id="rId2"/>
  </sheets>
  <definedNames>
    <definedName name="aporte_inicial">Simulador!$D$13</definedName>
    <definedName name="aporte_mensal">Simulador!$D$14</definedName>
    <definedName name="perfil_investidor">Simulador!$D$10</definedName>
    <definedName name="rendimento_carteira">Simulador!$D$8</definedName>
    <definedName name="salario">Simulador!$D$7</definedName>
    <definedName name="tempo_investimento">Simulador!$D$15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1" l="1"/>
  <c r="B11" i="2"/>
  <c r="B10" i="2"/>
  <c r="B9" i="2"/>
  <c r="B3" i="2"/>
  <c r="D17" i="1"/>
  <c r="D16" i="1"/>
  <c r="G8" i="1" s="1"/>
  <c r="H10" i="1"/>
  <c r="H9" i="1"/>
  <c r="H7" i="1"/>
  <c r="C27" i="1"/>
  <c r="D27" i="1" s="1"/>
  <c r="B20" i="2"/>
  <c r="B19" i="2"/>
  <c r="B18" i="2"/>
  <c r="B17" i="2"/>
  <c r="B16" i="2"/>
  <c r="B15" i="2"/>
  <c r="B14" i="2"/>
  <c r="B13" i="2"/>
  <c r="B12" i="2"/>
  <c r="B8" i="2"/>
  <c r="B7" i="2"/>
  <c r="B6" i="2"/>
  <c r="B5" i="2"/>
  <c r="G14" i="1" s="1"/>
  <c r="H14" i="1" s="1"/>
  <c r="B4" i="2"/>
  <c r="G13" i="1" l="1"/>
  <c r="H13" i="1" s="1"/>
  <c r="G15" i="1"/>
  <c r="H15" i="1" s="1"/>
  <c r="G17" i="1"/>
  <c r="H17" i="1" s="1"/>
  <c r="G16" i="1"/>
  <c r="H16" i="1" s="1"/>
  <c r="G18" i="1"/>
  <c r="H18" i="1" s="1"/>
  <c r="C23" i="1"/>
  <c r="D23" i="1" s="1"/>
  <c r="H8" i="1"/>
  <c r="D19" i="1"/>
  <c r="C24" i="1"/>
  <c r="D24" i="1" s="1"/>
  <c r="C25" i="1"/>
  <c r="D25" i="1" s="1"/>
  <c r="C26" i="1"/>
  <c r="D26" i="1" s="1"/>
  <c r="H19" i="1" l="1"/>
  <c r="D20" i="1"/>
  <c r="D18" i="1"/>
</calcChain>
</file>

<file path=xl/sharedStrings.xml><?xml version="1.0" encoding="utf-8"?>
<sst xmlns="http://schemas.openxmlformats.org/spreadsheetml/2006/main" count="79" uniqueCount="44">
  <si>
    <t>2 anos</t>
  </si>
  <si>
    <t>5 anos</t>
  </si>
  <si>
    <t>10 anos</t>
  </si>
  <si>
    <t>20 anos</t>
  </si>
  <si>
    <t>30 anos</t>
  </si>
  <si>
    <t>%</t>
  </si>
  <si>
    <t>Poupança</t>
  </si>
  <si>
    <t>Rendimento Carteira</t>
  </si>
  <si>
    <t xml:space="preserve"> </t>
  </si>
  <si>
    <t>Simulador FIIs</t>
  </si>
  <si>
    <t>Agressivo</t>
  </si>
  <si>
    <t>Investimento</t>
  </si>
  <si>
    <t>Papel</t>
  </si>
  <si>
    <t>Tijolo</t>
  </si>
  <si>
    <t>FOFs</t>
  </si>
  <si>
    <t>Desenvolvimento</t>
  </si>
  <si>
    <t>Hotelarias</t>
  </si>
  <si>
    <t>Comparativo</t>
  </si>
  <si>
    <t>Configurações</t>
  </si>
  <si>
    <t>Conservador</t>
  </si>
  <si>
    <t>Moderado</t>
  </si>
  <si>
    <t>Chave</t>
  </si>
  <si>
    <t>Perfil</t>
  </si>
  <si>
    <t>Tipo de FII</t>
  </si>
  <si>
    <t>Taxa Mensal</t>
  </si>
  <si>
    <t>Simulador de Investimentos FIIs</t>
  </si>
  <si>
    <t>Renda Fixa (CDB)</t>
  </si>
  <si>
    <t>Salario</t>
  </si>
  <si>
    <t>Rendimento da Carteira</t>
  </si>
  <si>
    <t>Investimento Sugerido (30%)</t>
  </si>
  <si>
    <t>Perfil do Investidor</t>
  </si>
  <si>
    <t>Aporte Inicial</t>
  </si>
  <si>
    <t>Aporte Mensal</t>
  </si>
  <si>
    <t>Tempo de Investimento (Anos)</t>
  </si>
  <si>
    <t>Taxa de Rendimento Mensal</t>
  </si>
  <si>
    <t>Valor Investido</t>
  </si>
  <si>
    <t>Total com Dividendos</t>
  </si>
  <si>
    <t>Dividendos Mensais</t>
  </si>
  <si>
    <t>Total de Dividendos</t>
  </si>
  <si>
    <t>Tipo de Fundo</t>
  </si>
  <si>
    <t>Valores</t>
  </si>
  <si>
    <t>Híbrido</t>
  </si>
  <si>
    <t>Projeçoes Futuras</t>
  </si>
  <si>
    <t>Percentual Sugerido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</si>
</sst>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4" formatCode="&quot;R$&quot;\ #,##0.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Aptos Black"/>
      <family val="2"/>
    </font>
    <font>
      <sz val="12"/>
      <color theme="1"/>
      <name val="Aptos"/>
      <family val="2"/>
    </font>
    <font>
      <b/>
      <sz val="12"/>
      <color theme="1"/>
      <name val="Aptos"/>
      <family val="2"/>
    </font>
    <font>
      <b/>
      <sz val="28"/>
      <color theme="1"/>
      <name val="Aptos Black"/>
      <family val="2"/>
    </font>
    <font>
      <b/>
      <sz val="14"/>
      <color theme="1"/>
      <name val="Aptos Black"/>
      <family val="2"/>
    </font>
  </fonts>
  <fills count="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37">
    <border>
      <left/>
      <right/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2" tint="-0.24994659260841701"/>
      </left>
      <right style="thin">
        <color theme="2" tint="-0.24994659260841701"/>
      </right>
      <top/>
      <bottom style="thin">
        <color theme="2" tint="-0.24994659260841701"/>
      </bottom>
      <diagonal/>
    </border>
    <border>
      <left style="thin">
        <color theme="2" tint="-0.24994659260841701"/>
      </left>
      <right/>
      <top/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/>
      <top style="thin">
        <color theme="2" tint="-0.24994659260841701"/>
      </top>
      <bottom style="thin">
        <color theme="2" tint="-0.24994659260841701"/>
      </bottom>
      <diagonal/>
    </border>
    <border>
      <left style="thick">
        <color theme="2" tint="-0.499984740745262"/>
      </left>
      <right/>
      <top style="thick">
        <color theme="2" tint="-0.499984740745262"/>
      </top>
      <bottom/>
      <diagonal/>
    </border>
    <border>
      <left/>
      <right/>
      <top style="thick">
        <color theme="2" tint="-0.499984740745262"/>
      </top>
      <bottom/>
      <diagonal/>
    </border>
    <border>
      <left/>
      <right style="thick">
        <color theme="2" tint="-0.499984740745262"/>
      </right>
      <top style="thick">
        <color theme="2" tint="-0.499984740745262"/>
      </top>
      <bottom/>
      <diagonal/>
    </border>
    <border>
      <left style="thick">
        <color theme="2" tint="-0.499984740745262"/>
      </left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 style="thick">
        <color theme="2" tint="-0.499984740745262"/>
      </right>
      <top/>
      <bottom style="thin">
        <color theme="0" tint="-4.9989318521683403E-2"/>
      </bottom>
      <diagonal/>
    </border>
    <border>
      <left style="thick">
        <color theme="2" tint="-0.499984740745262"/>
      </left>
      <right style="thin">
        <color theme="2" tint="-0.24994659260841701"/>
      </right>
      <top style="thin">
        <color theme="0" tint="-4.9989318521683403E-2"/>
      </top>
      <bottom style="thin">
        <color theme="2" tint="-0.24994659260841701"/>
      </bottom>
      <diagonal/>
    </border>
    <border>
      <left style="thin">
        <color theme="2" tint="-0.24994659260841701"/>
      </left>
      <right style="thick">
        <color theme="2" tint="-0.499984740745262"/>
      </right>
      <top/>
      <bottom style="thin">
        <color theme="2" tint="-0.24994659260841701"/>
      </bottom>
      <diagonal/>
    </border>
    <border>
      <left style="thick">
        <color theme="2" tint="-0.499984740745262"/>
      </left>
      <right style="thin">
        <color theme="2" tint="-0.24994659260841701"/>
      </right>
      <top/>
      <bottom style="thin">
        <color theme="2" tint="-0.24994659260841701"/>
      </bottom>
      <diagonal/>
    </border>
    <border>
      <left style="thick">
        <color theme="2" tint="-0.499984740745262"/>
      </left>
      <right style="thin">
        <color theme="2" tint="-0.24994659260841701"/>
      </right>
      <top/>
      <bottom style="thick">
        <color theme="2" tint="-0.499984740745262"/>
      </bottom>
      <diagonal/>
    </border>
    <border>
      <left style="thin">
        <color theme="2" tint="-0.24994659260841701"/>
      </left>
      <right/>
      <top/>
      <bottom style="thick">
        <color theme="2" tint="-0.499984740745262"/>
      </bottom>
      <diagonal/>
    </border>
    <border>
      <left style="thin">
        <color theme="2" tint="-0.24994659260841701"/>
      </left>
      <right style="thick">
        <color theme="2" tint="-0.499984740745262"/>
      </right>
      <top/>
      <bottom style="thick">
        <color theme="2" tint="-0.499984740745262"/>
      </bottom>
      <diagonal/>
    </border>
    <border>
      <left style="thick">
        <color theme="2" tint="-0.499984740745262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 style="thick">
        <color theme="2" tint="-0.499984740745262"/>
      </right>
      <top style="thin">
        <color theme="2" tint="-0.24994659260841701"/>
      </top>
      <bottom style="thin">
        <color theme="2" tint="-0.24994659260841701"/>
      </bottom>
      <diagonal/>
    </border>
    <border>
      <left style="thick">
        <color theme="2" tint="-0.499984740745262"/>
      </left>
      <right style="thin">
        <color theme="2" tint="-0.24994659260841701"/>
      </right>
      <top style="thin">
        <color theme="2" tint="-0.24994659260841701"/>
      </top>
      <bottom style="thick">
        <color theme="2" tint="-0.499984740745262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ck">
        <color theme="2" tint="-0.499984740745262"/>
      </bottom>
      <diagonal/>
    </border>
    <border>
      <left style="thin">
        <color theme="2" tint="-0.24994659260841701"/>
      </left>
      <right style="thick">
        <color theme="2" tint="-0.499984740745262"/>
      </right>
      <top style="thin">
        <color theme="2" tint="-0.24994659260841701"/>
      </top>
      <bottom style="thick">
        <color theme="2" tint="-0.499984740745262"/>
      </bottom>
      <diagonal/>
    </border>
    <border>
      <left style="thick">
        <color theme="2" tint="-0.499984740745262"/>
      </left>
      <right/>
      <top style="thin">
        <color theme="2" tint="-0.24994659260841701"/>
      </top>
      <bottom style="thick">
        <color theme="2" tint="-0.499984740745262"/>
      </bottom>
      <diagonal/>
    </border>
    <border>
      <left/>
      <right style="thin">
        <color theme="2" tint="-0.24994659260841701"/>
      </right>
      <top style="thin">
        <color theme="2" tint="-0.24994659260841701"/>
      </top>
      <bottom style="thick">
        <color theme="2" tint="-0.499984740745262"/>
      </bottom>
      <diagonal/>
    </border>
    <border>
      <left style="thin">
        <color theme="2" tint="-0.24994659260841701"/>
      </left>
      <right/>
      <top style="thin">
        <color theme="2" tint="-0.24994659260841701"/>
      </top>
      <bottom style="thick">
        <color theme="2" tint="-0.499984740745262"/>
      </bottom>
      <diagonal/>
    </border>
    <border>
      <left style="thick">
        <color theme="2" tint="-0.499984740745262"/>
      </left>
      <right/>
      <top/>
      <bottom style="thick">
        <color theme="2" tint="-0.499984740745262"/>
      </bottom>
      <diagonal/>
    </border>
    <border>
      <left/>
      <right/>
      <top/>
      <bottom style="thick">
        <color theme="2" tint="-0.499984740745262"/>
      </bottom>
      <diagonal/>
    </border>
    <border>
      <left/>
      <right style="thick">
        <color theme="2" tint="-0.499984740745262"/>
      </right>
      <top/>
      <bottom style="thick">
        <color theme="2" tint="-0.499984740745262"/>
      </bottom>
      <diagonal/>
    </border>
    <border>
      <left style="thick">
        <color theme="2" tint="-0.499984740745262"/>
      </left>
      <right style="medium">
        <color theme="2" tint="-9.9948118533890809E-2"/>
      </right>
      <top/>
      <bottom style="medium">
        <color theme="2" tint="-9.9948118533890809E-2"/>
      </bottom>
      <diagonal/>
    </border>
    <border>
      <left style="medium">
        <color theme="2" tint="-9.9948118533890809E-2"/>
      </left>
      <right style="medium">
        <color theme="2" tint="-9.9948118533890809E-2"/>
      </right>
      <top/>
      <bottom style="medium">
        <color theme="2" tint="-9.9948118533890809E-2"/>
      </bottom>
      <diagonal/>
    </border>
    <border>
      <left style="medium">
        <color theme="2" tint="-9.9948118533890809E-2"/>
      </left>
      <right style="thick">
        <color theme="2" tint="-0.499984740745262"/>
      </right>
      <top/>
      <bottom style="medium">
        <color theme="2" tint="-9.9948118533890809E-2"/>
      </bottom>
      <diagonal/>
    </border>
    <border>
      <left style="thick">
        <color theme="2" tint="-0.499984740745262"/>
      </left>
      <right style="medium">
        <color theme="2" tint="-9.9948118533890809E-2"/>
      </right>
      <top style="medium">
        <color theme="2" tint="-9.9948118533890809E-2"/>
      </top>
      <bottom style="medium">
        <color theme="2" tint="-9.9948118533890809E-2"/>
      </bottom>
      <diagonal/>
    </border>
    <border>
      <left style="medium">
        <color theme="2" tint="-9.9948118533890809E-2"/>
      </left>
      <right style="medium">
        <color theme="2" tint="-9.9948118533890809E-2"/>
      </right>
      <top style="medium">
        <color theme="2" tint="-9.9948118533890809E-2"/>
      </top>
      <bottom style="medium">
        <color theme="2" tint="-9.9948118533890809E-2"/>
      </bottom>
      <diagonal/>
    </border>
    <border>
      <left style="medium">
        <color theme="2" tint="-9.9948118533890809E-2"/>
      </left>
      <right style="thick">
        <color theme="2" tint="-0.499984740745262"/>
      </right>
      <top style="medium">
        <color theme="2" tint="-9.9948118533890809E-2"/>
      </top>
      <bottom style="medium">
        <color theme="2" tint="-9.9948118533890809E-2"/>
      </bottom>
      <diagonal/>
    </border>
    <border>
      <left style="thick">
        <color theme="2" tint="-0.499984740745262"/>
      </left>
      <right style="medium">
        <color theme="2" tint="-9.9948118533890809E-2"/>
      </right>
      <top style="medium">
        <color theme="2" tint="-9.9948118533890809E-2"/>
      </top>
      <bottom style="thick">
        <color theme="2" tint="-0.499984740745262"/>
      </bottom>
      <diagonal/>
    </border>
    <border>
      <left style="medium">
        <color theme="2" tint="-9.9948118533890809E-2"/>
      </left>
      <right style="medium">
        <color theme="2" tint="-9.9948118533890809E-2"/>
      </right>
      <top style="medium">
        <color theme="2" tint="-9.9948118533890809E-2"/>
      </top>
      <bottom style="thick">
        <color theme="2" tint="-0.499984740745262"/>
      </bottom>
      <diagonal/>
    </border>
    <border>
      <left style="medium">
        <color theme="2" tint="-9.9948118533890809E-2"/>
      </left>
      <right style="thick">
        <color theme="2" tint="-0.499984740745262"/>
      </right>
      <top style="medium">
        <color theme="2" tint="-9.9948118533890809E-2"/>
      </top>
      <bottom style="thick">
        <color theme="2" tint="-0.499984740745262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2">
    <xf numFmtId="0" fontId="0" fillId="0" borderId="0" xfId="0"/>
    <xf numFmtId="0" fontId="2" fillId="0" borderId="0" xfId="0" applyFont="1"/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64" fontId="6" fillId="3" borderId="1" xfId="0" applyNumberFormat="1" applyFont="1" applyFill="1" applyBorder="1" applyAlignment="1">
      <alignment horizontal="center" vertical="center"/>
    </xf>
    <xf numFmtId="164" fontId="5" fillId="4" borderId="5" xfId="0" applyNumberFormat="1" applyFont="1" applyFill="1" applyBorder="1" applyAlignment="1">
      <alignment horizontal="center" vertical="center"/>
    </xf>
    <xf numFmtId="9" fontId="5" fillId="4" borderId="3" xfId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0" xfId="0" applyFont="1"/>
    <xf numFmtId="8" fontId="0" fillId="0" borderId="0" xfId="0" applyNumberFormat="1" applyAlignment="1">
      <alignment horizontal="center" vertical="center"/>
    </xf>
    <xf numFmtId="10" fontId="5" fillId="4" borderId="3" xfId="1" applyNumberFormat="1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 vertical="center"/>
    </xf>
    <xf numFmtId="164" fontId="6" fillId="3" borderId="10" xfId="0" applyNumberFormat="1" applyFont="1" applyFill="1" applyBorder="1" applyAlignment="1">
      <alignment horizontal="center"/>
    </xf>
    <xf numFmtId="164" fontId="5" fillId="5" borderId="11" xfId="0" applyNumberFormat="1" applyFont="1" applyFill="1" applyBorder="1" applyAlignment="1">
      <alignment horizontal="center" vertical="center"/>
    </xf>
    <xf numFmtId="164" fontId="5" fillId="4" borderId="12" xfId="0" applyNumberFormat="1" applyFont="1" applyFill="1" applyBorder="1" applyAlignment="1">
      <alignment horizontal="center" vertical="center"/>
    </xf>
    <xf numFmtId="164" fontId="5" fillId="5" borderId="13" xfId="0" applyNumberFormat="1" applyFont="1" applyFill="1" applyBorder="1" applyAlignment="1">
      <alignment horizontal="center" vertical="center"/>
    </xf>
    <xf numFmtId="164" fontId="5" fillId="5" borderId="14" xfId="0" applyNumberFormat="1" applyFont="1" applyFill="1" applyBorder="1" applyAlignment="1">
      <alignment horizontal="center" vertical="center"/>
    </xf>
    <xf numFmtId="10" fontId="5" fillId="4" borderId="15" xfId="1" applyNumberFormat="1" applyFont="1" applyFill="1" applyBorder="1" applyAlignment="1">
      <alignment horizontal="center" vertical="center"/>
    </xf>
    <xf numFmtId="164" fontId="5" fillId="4" borderId="16" xfId="0" applyNumberFormat="1" applyFont="1" applyFill="1" applyBorder="1" applyAlignment="1">
      <alignment horizontal="center" vertical="center"/>
    </xf>
    <xf numFmtId="10" fontId="5" fillId="4" borderId="18" xfId="1" applyNumberFormat="1" applyFont="1" applyFill="1" applyBorder="1" applyAlignment="1">
      <alignment horizontal="center" vertical="center"/>
    </xf>
    <xf numFmtId="164" fontId="5" fillId="4" borderId="18" xfId="0" applyNumberFormat="1" applyFont="1" applyFill="1" applyBorder="1" applyAlignment="1">
      <alignment horizontal="center" vertical="center"/>
    </xf>
    <xf numFmtId="164" fontId="5" fillId="4" borderId="21" xfId="0" applyNumberFormat="1" applyFont="1" applyFill="1" applyBorder="1" applyAlignment="1">
      <alignment horizontal="center" vertical="center"/>
    </xf>
    <xf numFmtId="164" fontId="5" fillId="5" borderId="17" xfId="0" applyNumberFormat="1" applyFont="1" applyFill="1" applyBorder="1" applyAlignment="1">
      <alignment horizontal="center" vertical="center"/>
    </xf>
    <xf numFmtId="164" fontId="5" fillId="5" borderId="19" xfId="0" applyNumberFormat="1" applyFont="1" applyFill="1" applyBorder="1" applyAlignment="1">
      <alignment horizontal="center" vertical="center"/>
    </xf>
    <xf numFmtId="164" fontId="5" fillId="4" borderId="24" xfId="0" applyNumberFormat="1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164" fontId="4" fillId="2" borderId="27" xfId="0" applyNumberFormat="1" applyFont="1" applyFill="1" applyBorder="1" applyAlignment="1">
      <alignment horizontal="center" vertical="center"/>
    </xf>
    <xf numFmtId="9" fontId="0" fillId="0" borderId="0" xfId="1" applyFont="1"/>
    <xf numFmtId="164" fontId="6" fillId="3" borderId="12" xfId="0" applyNumberFormat="1" applyFont="1" applyFill="1" applyBorder="1" applyAlignment="1">
      <alignment horizontal="center" vertical="center"/>
    </xf>
    <xf numFmtId="164" fontId="6" fillId="3" borderId="18" xfId="0" applyNumberFormat="1" applyFont="1" applyFill="1" applyBorder="1" applyAlignment="1">
      <alignment horizontal="center" vertical="center"/>
    </xf>
    <xf numFmtId="1" fontId="6" fillId="3" borderId="18" xfId="0" applyNumberFormat="1" applyFont="1" applyFill="1" applyBorder="1" applyAlignment="1">
      <alignment horizontal="center" vertical="center"/>
    </xf>
    <xf numFmtId="10" fontId="6" fillId="3" borderId="18" xfId="0" applyNumberFormat="1" applyFont="1" applyFill="1" applyBorder="1" applyAlignment="1">
      <alignment horizontal="center" vertical="center"/>
    </xf>
    <xf numFmtId="0" fontId="6" fillId="3" borderId="21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5" fillId="3" borderId="28" xfId="0" applyFont="1" applyFill="1" applyBorder="1" applyAlignment="1">
      <alignment horizontal="center" vertical="center"/>
    </xf>
    <xf numFmtId="0" fontId="5" fillId="3" borderId="29" xfId="0" applyFont="1" applyFill="1" applyBorder="1" applyAlignment="1">
      <alignment horizontal="center" vertical="center"/>
    </xf>
    <xf numFmtId="9" fontId="5" fillId="3" borderId="30" xfId="1" applyFont="1" applyFill="1" applyBorder="1" applyAlignment="1">
      <alignment horizontal="center" vertical="center"/>
    </xf>
    <xf numFmtId="0" fontId="5" fillId="3" borderId="31" xfId="0" applyFont="1" applyFill="1" applyBorder="1" applyAlignment="1">
      <alignment horizontal="center" vertical="center"/>
    </xf>
    <xf numFmtId="0" fontId="5" fillId="3" borderId="32" xfId="0" applyFont="1" applyFill="1" applyBorder="1" applyAlignment="1">
      <alignment horizontal="center" vertical="center"/>
    </xf>
    <xf numFmtId="9" fontId="5" fillId="3" borderId="33" xfId="1" applyFont="1" applyFill="1" applyBorder="1" applyAlignment="1">
      <alignment horizontal="center" vertical="center"/>
    </xf>
    <xf numFmtId="0" fontId="5" fillId="3" borderId="34" xfId="0" applyFont="1" applyFill="1" applyBorder="1" applyAlignment="1">
      <alignment horizontal="center" vertical="center"/>
    </xf>
    <xf numFmtId="0" fontId="5" fillId="3" borderId="35" xfId="0" applyFont="1" applyFill="1" applyBorder="1" applyAlignment="1">
      <alignment horizontal="center" vertical="center"/>
    </xf>
    <xf numFmtId="9" fontId="5" fillId="3" borderId="36" xfId="1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7" fillId="6" borderId="0" xfId="0" applyFont="1" applyFill="1" applyAlignment="1">
      <alignment horizontal="center"/>
    </xf>
    <xf numFmtId="0" fontId="6" fillId="5" borderId="22" xfId="0" applyFont="1" applyFill="1" applyBorder="1" applyAlignment="1">
      <alignment horizontal="center" vertical="center"/>
    </xf>
    <xf numFmtId="0" fontId="6" fillId="5" borderId="23" xfId="0" applyFont="1" applyFill="1" applyBorder="1" applyAlignment="1">
      <alignment horizontal="center" vertical="center"/>
    </xf>
    <xf numFmtId="0" fontId="6" fillId="5" borderId="17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6" fillId="5" borderId="13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6" fillId="5" borderId="19" xfId="0" applyFont="1" applyFill="1" applyBorder="1" applyAlignment="1">
      <alignment horizontal="center" vertical="center"/>
    </xf>
    <xf numFmtId="0" fontId="6" fillId="5" borderId="20" xfId="0" applyFont="1" applyFill="1" applyBorder="1" applyAlignment="1">
      <alignment horizontal="center" vertic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4693526447880146"/>
          <c:y val="0.16382451696568565"/>
          <c:w val="0.62243155736919742"/>
          <c:h val="0.76996029932865295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29B-4313-BFB9-700FDE73429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29B-4313-BFB9-700FDE73429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29B-4313-BFB9-700FDE73429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29B-4313-BFB9-700FDE73429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29B-4313-BFB9-700FDE73429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29B-4313-BFB9-700FDE73429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Simulador!$F$13:$F$18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Simulador!$G$13:$G$18</c:f>
              <c:numCache>
                <c:formatCode>0%</c:formatCode>
                <c:ptCount val="6"/>
                <c:pt idx="0">
                  <c:v>0.32</c:v>
                </c:pt>
                <c:pt idx="1">
                  <c:v>0.35</c:v>
                </c:pt>
                <c:pt idx="2">
                  <c:v>0.08</c:v>
                </c:pt>
                <c:pt idx="3">
                  <c:v>0.05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9D-4FD8-A6C1-E81E006E8680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1.7179363833540087E-3"/>
          <c:y val="0.25336337110648083"/>
          <c:w val="0.37740115283017278"/>
          <c:h val="0.6328086044664202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ptos Black" panose="020B0004020202020204" pitchFamily="34" charset="0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"/>
          <c:y val="2.0779215112870404E-2"/>
          <c:w val="1"/>
          <c:h val="0.707382838768016"/>
        </c:manualLayout>
      </c:layout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lumMod val="75000"/>
              </a:schemeClr>
            </a:solidFill>
            <a:ln>
              <a:solidFill>
                <a:schemeClr val="accent6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6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1">
                  <a:lumMod val="40000"/>
                  <a:lumOff val="6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Aptos Black" panose="020B0004020202020204" pitchFamily="34" charset="0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Simulador!$F$8:$F$10</c:f>
              <c:strCache>
                <c:ptCount val="3"/>
                <c:pt idx="0">
                  <c:v>Rendimento Carteira</c:v>
                </c:pt>
                <c:pt idx="1">
                  <c:v>Renda Fixa (CDB)</c:v>
                </c:pt>
                <c:pt idx="2">
                  <c:v>Poupança</c:v>
                </c:pt>
              </c:strCache>
            </c:strRef>
          </c:cat>
          <c:val>
            <c:numRef>
              <c:f>Simulador!$H$8:$H$10</c:f>
              <c:numCache>
                <c:formatCode>"R$"\ #,##0.00</c:formatCode>
                <c:ptCount val="3"/>
                <c:pt idx="0">
                  <c:v>107498.14780174561</c:v>
                </c:pt>
                <c:pt idx="1">
                  <c:v>101373.22153571071</c:v>
                </c:pt>
                <c:pt idx="2">
                  <c:v>89259.088594973844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D8-41B6-9BB3-B67A80C9876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198964240"/>
        <c:axId val="198962800"/>
        <c:axId val="0"/>
      </c:bar3DChart>
      <c:catAx>
        <c:axId val="198964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ptos Black" panose="020B0004020202020204" pitchFamily="34" charset="0"/>
                <a:ea typeface="+mn-ea"/>
                <a:cs typeface="+mn-cs"/>
              </a:defRPr>
            </a:pPr>
            <a:endParaRPr lang="pt-BR"/>
          </a:p>
        </c:txPr>
        <c:crossAx val="198962800"/>
        <c:crosses val="autoZero"/>
        <c:auto val="1"/>
        <c:lblAlgn val="ctr"/>
        <c:lblOffset val="100"/>
        <c:noMultiLvlLbl val="0"/>
      </c:catAx>
      <c:valAx>
        <c:axId val="198962800"/>
        <c:scaling>
          <c:orientation val="minMax"/>
        </c:scaling>
        <c:delete val="1"/>
        <c:axPos val="l"/>
        <c:numFmt formatCode="&quot;R$&quot;\ #,##0.00" sourceLinked="1"/>
        <c:majorTickMark val="out"/>
        <c:minorTickMark val="none"/>
        <c:tickLblPos val="nextTo"/>
        <c:crossAx val="198964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6350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114299</xdr:colOff>
      <xdr:row>17</xdr:row>
      <xdr:rowOff>138112</xdr:rowOff>
    </xdr:from>
    <xdr:to>
      <xdr:col>6</xdr:col>
      <xdr:colOff>361949</xdr:colOff>
      <xdr:row>28</xdr:row>
      <xdr:rowOff>161925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18FCF52-CDF9-A5C4-D41C-46300D63D2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228601</xdr:colOff>
      <xdr:row>19</xdr:row>
      <xdr:rowOff>166687</xdr:rowOff>
    </xdr:from>
    <xdr:to>
      <xdr:col>8</xdr:col>
      <xdr:colOff>209550</xdr:colOff>
      <xdr:row>29</xdr:row>
      <xdr:rowOff>28575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5D7CEC3-F767-9807-2B21-2CFF25A2F8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showGridLines="0" tabSelected="1" workbookViewId="0">
      <selection activeCell="B6" sqref="B6:D6"/>
    </sheetView>
  </sheetViews>
  <sheetFormatPr defaultColWidth="0" defaultRowHeight="15" zeroHeight="1" x14ac:dyDescent="0.25"/>
  <cols>
    <col min="1" max="1" width="3.5703125" customWidth="1"/>
    <col min="2" max="2" width="41.140625" bestFit="1" customWidth="1"/>
    <col min="3" max="3" width="18.42578125" bestFit="1" customWidth="1"/>
    <col min="4" max="4" width="27.5703125" bestFit="1" customWidth="1"/>
    <col min="5" max="5" width="2.140625" customWidth="1"/>
    <col min="6" max="6" width="38.7109375" bestFit="1" customWidth="1"/>
    <col min="7" max="7" width="48.5703125" bestFit="1" customWidth="1"/>
    <col min="8" max="8" width="21" bestFit="1" customWidth="1"/>
    <col min="9" max="9" width="3.5703125" customWidth="1"/>
    <col min="10" max="10" width="0" hidden="1" customWidth="1"/>
    <col min="11" max="16384" width="9.140625" hidden="1"/>
  </cols>
  <sheetData>
    <row r="1" spans="2:9" x14ac:dyDescent="0.25"/>
    <row r="2" spans="2:9" x14ac:dyDescent="0.25">
      <c r="B2" s="53" t="s">
        <v>25</v>
      </c>
      <c r="C2" s="53"/>
      <c r="D2" s="53"/>
      <c r="E2" s="53"/>
      <c r="F2" s="53"/>
      <c r="G2" s="53"/>
      <c r="H2" s="53"/>
    </row>
    <row r="3" spans="2:9" x14ac:dyDescent="0.25">
      <c r="B3" s="53"/>
      <c r="C3" s="53"/>
      <c r="D3" s="53"/>
      <c r="E3" s="53"/>
      <c r="F3" s="53"/>
      <c r="G3" s="53"/>
      <c r="H3" s="53"/>
    </row>
    <row r="4" spans="2:9" x14ac:dyDescent="0.25">
      <c r="B4" s="53"/>
      <c r="C4" s="53"/>
      <c r="D4" s="53"/>
      <c r="E4" s="53"/>
      <c r="F4" s="53"/>
      <c r="G4" s="53"/>
      <c r="H4" s="53"/>
    </row>
    <row r="5" spans="2:9" ht="15.75" thickBot="1" x14ac:dyDescent="0.3">
      <c r="B5" s="7"/>
      <c r="E5" s="7"/>
      <c r="F5" s="7"/>
      <c r="G5" s="7"/>
      <c r="H5" s="7"/>
      <c r="I5" s="7"/>
    </row>
    <row r="6" spans="2:9" ht="19.5" thickTop="1" x14ac:dyDescent="0.3">
      <c r="B6" s="50" t="s">
        <v>18</v>
      </c>
      <c r="C6" s="51"/>
      <c r="D6" s="52"/>
      <c r="E6" s="8"/>
      <c r="F6" s="50" t="s">
        <v>17</v>
      </c>
      <c r="G6" s="51"/>
      <c r="H6" s="52"/>
    </row>
    <row r="7" spans="2:9" ht="15.75" x14ac:dyDescent="0.25">
      <c r="B7" s="58" t="s">
        <v>27</v>
      </c>
      <c r="C7" s="59"/>
      <c r="D7" s="33">
        <v>5000</v>
      </c>
      <c r="F7" s="12" t="s">
        <v>11</v>
      </c>
      <c r="G7" s="4" t="s">
        <v>24</v>
      </c>
      <c r="H7" s="13" t="str">
        <f>"Período de "&amp;D15&amp;" anos"</f>
        <v>Período de 5 anos</v>
      </c>
    </row>
    <row r="8" spans="2:9" ht="15.75" x14ac:dyDescent="0.25">
      <c r="B8" s="56" t="s">
        <v>28</v>
      </c>
      <c r="C8" s="57"/>
      <c r="D8" s="36">
        <v>1.0800000000000001E-2</v>
      </c>
      <c r="F8" s="14" t="s">
        <v>7</v>
      </c>
      <c r="G8" s="10">
        <f>D16</f>
        <v>1.0800000000000001E-2</v>
      </c>
      <c r="H8" s="15">
        <f>FV($D$16,$D$15*12,$D$14,$D$13)*-1</f>
        <v>107498.14780174561</v>
      </c>
    </row>
    <row r="9" spans="2:9" ht="15.75" x14ac:dyDescent="0.25">
      <c r="B9" s="56" t="s">
        <v>29</v>
      </c>
      <c r="C9" s="57"/>
      <c r="D9" s="21">
        <f>salario*30%</f>
        <v>1500</v>
      </c>
      <c r="F9" s="16" t="s">
        <v>26</v>
      </c>
      <c r="G9" s="10">
        <v>8.9999999999999993E-3</v>
      </c>
      <c r="H9" s="15">
        <f>FV($G$9,$D$15*12,$D$14,$D$13)*-1</f>
        <v>101373.22153571071</v>
      </c>
    </row>
    <row r="10" spans="2:9" ht="16.5" thickBot="1" x14ac:dyDescent="0.3">
      <c r="B10" s="60" t="s">
        <v>30</v>
      </c>
      <c r="C10" s="61"/>
      <c r="D10" s="37" t="s">
        <v>20</v>
      </c>
      <c r="E10" s="3"/>
      <c r="F10" s="17" t="s">
        <v>6</v>
      </c>
      <c r="G10" s="18">
        <v>5.0000000000000001E-3</v>
      </c>
      <c r="H10" s="19">
        <f>FV($G$10,$D$15*12,$D$14,$D$13)*-1</f>
        <v>89259.088594973844</v>
      </c>
    </row>
    <row r="11" spans="2:9" ht="11.25" customHeight="1" thickTop="1" thickBot="1" x14ac:dyDescent="0.3">
      <c r="D11" s="3"/>
      <c r="E11" s="3"/>
    </row>
    <row r="12" spans="2:9" ht="19.5" thickTop="1" x14ac:dyDescent="0.3">
      <c r="B12" s="50" t="s">
        <v>9</v>
      </c>
      <c r="C12" s="51"/>
      <c r="D12" s="52"/>
      <c r="E12" s="3"/>
      <c r="F12" s="26" t="s">
        <v>39</v>
      </c>
      <c r="G12" s="27" t="s">
        <v>43</v>
      </c>
      <c r="H12" s="28" t="s">
        <v>40</v>
      </c>
    </row>
    <row r="13" spans="2:9" ht="15.75" x14ac:dyDescent="0.25">
      <c r="B13" s="58" t="s">
        <v>31</v>
      </c>
      <c r="C13" s="59"/>
      <c r="D13" s="33">
        <v>1000</v>
      </c>
      <c r="E13" s="3"/>
      <c r="F13" s="16" t="s">
        <v>12</v>
      </c>
      <c r="G13" s="6">
        <f>VLOOKUP(perfil_investidor&amp;"-"&amp;F13,Chaves_Perfil_Investidor!$B$2:$E$20,4,FALSE)</f>
        <v>0.32</v>
      </c>
      <c r="H13" s="15">
        <f t="shared" ref="H13:H18" si="0">G13*$D$14</f>
        <v>403.2</v>
      </c>
    </row>
    <row r="14" spans="2:9" ht="15.75" x14ac:dyDescent="0.25">
      <c r="B14" s="56" t="s">
        <v>32</v>
      </c>
      <c r="C14" s="57"/>
      <c r="D14" s="34">
        <v>1260</v>
      </c>
      <c r="E14" s="3"/>
      <c r="F14" s="16" t="s">
        <v>13</v>
      </c>
      <c r="G14" s="6">
        <f>VLOOKUP(perfil_investidor&amp;"-"&amp;F14,Chaves_Perfil_Investidor!$B$2:$E$20,4,FALSE)</f>
        <v>0.35</v>
      </c>
      <c r="H14" s="15">
        <f t="shared" si="0"/>
        <v>441</v>
      </c>
    </row>
    <row r="15" spans="2:9" ht="15.75" x14ac:dyDescent="0.25">
      <c r="B15" s="56" t="s">
        <v>33</v>
      </c>
      <c r="C15" s="57"/>
      <c r="D15" s="35">
        <v>5</v>
      </c>
      <c r="E15" s="3"/>
      <c r="F15" s="16" t="s">
        <v>41</v>
      </c>
      <c r="G15" s="6">
        <f>VLOOKUP(perfil_investidor&amp;"-"&amp;F15,Chaves_Perfil_Investidor!$B$2:$E$20,4,FALSE)</f>
        <v>0.08</v>
      </c>
      <c r="H15" s="15">
        <f t="shared" si="0"/>
        <v>100.8</v>
      </c>
    </row>
    <row r="16" spans="2:9" ht="15.75" x14ac:dyDescent="0.25">
      <c r="B16" s="56" t="s">
        <v>34</v>
      </c>
      <c r="C16" s="57"/>
      <c r="D16" s="20">
        <f>rendimento_carteira</f>
        <v>1.0800000000000001E-2</v>
      </c>
      <c r="E16" s="3"/>
      <c r="F16" s="16" t="s">
        <v>14</v>
      </c>
      <c r="G16" s="6">
        <f>VLOOKUP(perfil_investidor&amp;"-"&amp;F16,Chaves_Perfil_Investidor!$B$2:$E$20,4,FALSE)</f>
        <v>0.05</v>
      </c>
      <c r="H16" s="15">
        <f t="shared" si="0"/>
        <v>63</v>
      </c>
    </row>
    <row r="17" spans="1:8" ht="15.75" x14ac:dyDescent="0.25">
      <c r="B17" s="56" t="s">
        <v>35</v>
      </c>
      <c r="C17" s="57"/>
      <c r="D17" s="21">
        <f>aporte_inicial+(aporte_mensal*tempo_investimento*12)</f>
        <v>76600</v>
      </c>
      <c r="E17" s="2"/>
      <c r="F17" s="16" t="s">
        <v>15</v>
      </c>
      <c r="G17" s="6">
        <f>VLOOKUP(perfil_investidor&amp;"-"&amp;F17,Chaves_Perfil_Investidor!$B$2:$E$20,4,FALSE)</f>
        <v>0.1</v>
      </c>
      <c r="H17" s="15">
        <f t="shared" si="0"/>
        <v>126</v>
      </c>
    </row>
    <row r="18" spans="1:8" ht="15.75" x14ac:dyDescent="0.25">
      <c r="B18" s="56" t="s">
        <v>37</v>
      </c>
      <c r="C18" s="57"/>
      <c r="D18" s="21">
        <f>D19*D16</f>
        <v>1160.9799962588527</v>
      </c>
      <c r="E18" s="9"/>
      <c r="F18" s="16" t="s">
        <v>16</v>
      </c>
      <c r="G18" s="6">
        <f>VLOOKUP(perfil_investidor&amp;"-"&amp;F18,Chaves_Perfil_Investidor!$B$2:$E$20,4,FALSE)</f>
        <v>0.1</v>
      </c>
      <c r="H18" s="15">
        <f t="shared" si="0"/>
        <v>126</v>
      </c>
    </row>
    <row r="19" spans="1:8" ht="19.5" thickBot="1" x14ac:dyDescent="0.3">
      <c r="B19" s="56" t="s">
        <v>36</v>
      </c>
      <c r="C19" s="57"/>
      <c r="D19" s="21">
        <f>FV($D$16,$D$15*12,$D$14,$D$13)*-1</f>
        <v>107498.14780174561</v>
      </c>
      <c r="E19" s="3"/>
      <c r="F19" s="29"/>
      <c r="G19" s="30"/>
      <c r="H19" s="31">
        <f>SUM(H13:H18)</f>
        <v>1260</v>
      </c>
    </row>
    <row r="20" spans="1:8" ht="17.25" thickTop="1" thickBot="1" x14ac:dyDescent="0.3">
      <c r="B20" s="54" t="s">
        <v>38</v>
      </c>
      <c r="C20" s="55"/>
      <c r="D20" s="22">
        <f>D19-D17</f>
        <v>30898.14780174561</v>
      </c>
      <c r="E20" s="3"/>
      <c r="F20" s="3"/>
      <c r="G20" s="3"/>
    </row>
    <row r="21" spans="1:8" ht="11.25" customHeight="1" thickTop="1" thickBot="1" x14ac:dyDescent="0.3">
      <c r="E21" s="3"/>
    </row>
    <row r="22" spans="1:8" ht="19.5" thickTop="1" x14ac:dyDescent="0.3">
      <c r="B22" s="50" t="s">
        <v>42</v>
      </c>
      <c r="C22" s="51"/>
      <c r="D22" s="11" t="s">
        <v>37</v>
      </c>
      <c r="E22" s="3"/>
    </row>
    <row r="23" spans="1:8" ht="15.75" x14ac:dyDescent="0.25">
      <c r="A23" s="1">
        <v>2</v>
      </c>
      <c r="B23" s="23" t="s">
        <v>0</v>
      </c>
      <c r="C23" s="5">
        <f>FV($D$16,$A23*12,$D$14,$D$13)*-1</f>
        <v>35604.981539867091</v>
      </c>
      <c r="D23" s="21">
        <f>C23*$D$16</f>
        <v>384.5338006305646</v>
      </c>
      <c r="E23" s="3"/>
    </row>
    <row r="24" spans="1:8" ht="15.75" x14ac:dyDescent="0.25">
      <c r="A24" s="1">
        <v>5</v>
      </c>
      <c r="B24" s="23" t="s">
        <v>1</v>
      </c>
      <c r="C24" s="5">
        <f>FV($D$16,$A24*12,$D$14,$D$13)*-1</f>
        <v>107498.14780174561</v>
      </c>
      <c r="D24" s="21">
        <f>C24*$D$16</f>
        <v>1160.9799962588527</v>
      </c>
      <c r="E24" s="3"/>
    </row>
    <row r="25" spans="1:8" ht="15.75" x14ac:dyDescent="0.25">
      <c r="A25" s="1">
        <v>10</v>
      </c>
      <c r="B25" s="23" t="s">
        <v>2</v>
      </c>
      <c r="C25" s="5">
        <f>FV($D$16,$A25*12,$D$14,$D$13)*-1</f>
        <v>310386.00227659993</v>
      </c>
      <c r="D25" s="21">
        <f>C25*$D$16</f>
        <v>3352.1688245872792</v>
      </c>
      <c r="E25" s="3"/>
    </row>
    <row r="26" spans="1:8" ht="15.75" x14ac:dyDescent="0.25">
      <c r="A26" s="1">
        <v>20</v>
      </c>
      <c r="B26" s="23" t="s">
        <v>3</v>
      </c>
      <c r="C26" s="5">
        <f>FV($D$16,$A26*12,$D$14,$D$13)*-1</f>
        <v>1433253.8606837634</v>
      </c>
      <c r="D26" s="21">
        <f>C26*$D$16</f>
        <v>15479.141695384646</v>
      </c>
      <c r="E26" s="3"/>
    </row>
    <row r="27" spans="1:8" ht="16.5" thickBot="1" x14ac:dyDescent="0.3">
      <c r="A27" s="1">
        <v>30</v>
      </c>
      <c r="B27" s="24" t="s">
        <v>4</v>
      </c>
      <c r="C27" s="25">
        <f>FV($D$16,$A27*12,$D$14,$D$13)*-1</f>
        <v>5508526.2329505272</v>
      </c>
      <c r="D27" s="22">
        <f>C27*$D$16</f>
        <v>59492.083315865697</v>
      </c>
      <c r="E27" s="3"/>
    </row>
    <row r="28" spans="1:8" ht="15.75" thickTop="1" x14ac:dyDescent="0.25">
      <c r="E28" s="3"/>
    </row>
    <row r="29" spans="1:8" ht="12.75" customHeight="1" x14ac:dyDescent="0.25">
      <c r="E29" s="3"/>
    </row>
    <row r="30" spans="1:8" ht="12.75" customHeight="1" x14ac:dyDescent="0.25">
      <c r="E30" s="3"/>
    </row>
    <row r="31" spans="1:8" x14ac:dyDescent="0.25">
      <c r="E31" s="3"/>
    </row>
    <row r="34" spans="5:6" hidden="1" x14ac:dyDescent="0.25">
      <c r="F34" t="s">
        <v>8</v>
      </c>
    </row>
    <row r="38" spans="5:6" hidden="1" x14ac:dyDescent="0.25">
      <c r="E38" s="2"/>
    </row>
    <row r="39" spans="5:6" hidden="1" x14ac:dyDescent="0.25">
      <c r="E39" s="3"/>
    </row>
    <row r="40" spans="5:6" hidden="1" x14ac:dyDescent="0.25">
      <c r="E40" s="3"/>
    </row>
    <row r="41" spans="5:6" hidden="1" x14ac:dyDescent="0.25">
      <c r="E41" s="3"/>
    </row>
    <row r="42" spans="5:6" hidden="1" x14ac:dyDescent="0.25">
      <c r="E42" s="3"/>
    </row>
    <row r="43" spans="5:6" hidden="1" x14ac:dyDescent="0.25">
      <c r="E43" s="3"/>
    </row>
    <row r="44" spans="5:6" hidden="1" x14ac:dyDescent="0.25">
      <c r="E44" s="3"/>
    </row>
    <row r="45" spans="5:6" hidden="1" x14ac:dyDescent="0.25">
      <c r="E45" s="3"/>
    </row>
    <row r="46" spans="5:6" hidden="1" x14ac:dyDescent="0.25">
      <c r="E46" s="3"/>
    </row>
    <row r="47" spans="5:6" hidden="1" x14ac:dyDescent="0.25">
      <c r="E47" s="3"/>
    </row>
    <row r="48" spans="5:6" hidden="1" x14ac:dyDescent="0.25">
      <c r="E48" s="3"/>
    </row>
    <row r="49" spans="2:5" hidden="1" x14ac:dyDescent="0.25">
      <c r="E49" s="3"/>
    </row>
    <row r="50" spans="2:5" hidden="1" x14ac:dyDescent="0.25">
      <c r="B50" s="3"/>
      <c r="C50" s="3"/>
      <c r="D50" s="3"/>
      <c r="E50" s="3"/>
    </row>
    <row r="51" spans="2:5" hidden="1" x14ac:dyDescent="0.25">
      <c r="D51" s="3"/>
      <c r="E51" s="3"/>
    </row>
  </sheetData>
  <mergeCells count="17">
    <mergeCell ref="B9:C9"/>
    <mergeCell ref="B22:C22"/>
    <mergeCell ref="B6:D6"/>
    <mergeCell ref="B2:H4"/>
    <mergeCell ref="B20:C20"/>
    <mergeCell ref="F6:H6"/>
    <mergeCell ref="B16:C16"/>
    <mergeCell ref="B17:C17"/>
    <mergeCell ref="B19:C19"/>
    <mergeCell ref="B18:C18"/>
    <mergeCell ref="B12:D12"/>
    <mergeCell ref="B7:C7"/>
    <mergeCell ref="B8:C8"/>
    <mergeCell ref="B10:C10"/>
    <mergeCell ref="B13:C13"/>
    <mergeCell ref="B14:C14"/>
    <mergeCell ref="B15:C15"/>
  </mergeCells>
  <phoneticPr fontId="3" type="noConversion"/>
  <dataValidations count="1">
    <dataValidation type="list" allowBlank="1" showInputMessage="1" showErrorMessage="1" sqref="D10" xr:uid="{6D1C8F97-54AF-4656-B3B3-F478D4AEEEF9}">
      <formula1>"Conservador,Moderado,Agressivo"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2494E-4F03-4209-B17D-BDE666A8D804}">
  <dimension ref="B1:G21"/>
  <sheetViews>
    <sheetView workbookViewId="0">
      <selection activeCell="D25" sqref="D25"/>
    </sheetView>
  </sheetViews>
  <sheetFormatPr defaultRowHeight="15" x14ac:dyDescent="0.25"/>
  <cols>
    <col min="2" max="2" width="32.5703125" bestFit="1" customWidth="1"/>
    <col min="3" max="3" width="14.140625" bestFit="1" customWidth="1"/>
    <col min="4" max="4" width="18.7109375" bestFit="1" customWidth="1"/>
    <col min="5" max="5" width="5.7109375" bestFit="1" customWidth="1"/>
  </cols>
  <sheetData>
    <row r="1" spans="2:7" ht="15.75" thickBot="1" x14ac:dyDescent="0.3"/>
    <row r="2" spans="2:7" ht="33" customHeight="1" thickTop="1" x14ac:dyDescent="0.25">
      <c r="B2" s="38" t="s">
        <v>21</v>
      </c>
      <c r="C2" s="39" t="s">
        <v>22</v>
      </c>
      <c r="D2" s="39" t="s">
        <v>23</v>
      </c>
      <c r="E2" s="40" t="s">
        <v>5</v>
      </c>
    </row>
    <row r="3" spans="2:7" ht="16.5" thickBot="1" x14ac:dyDescent="0.3">
      <c r="B3" s="41" t="str">
        <f>C3&amp;"-"&amp;D3</f>
        <v>Conservador-Papel</v>
      </c>
      <c r="C3" s="42" t="s">
        <v>19</v>
      </c>
      <c r="D3" s="42" t="s">
        <v>12</v>
      </c>
      <c r="E3" s="43">
        <v>0.3</v>
      </c>
    </row>
    <row r="4" spans="2:7" ht="16.5" thickBot="1" x14ac:dyDescent="0.3">
      <c r="B4" s="44" t="str">
        <f t="shared" ref="B4:B20" si="0">C4&amp;"-"&amp;D4</f>
        <v>Conservador-Tijolo</v>
      </c>
      <c r="C4" s="45" t="s">
        <v>19</v>
      </c>
      <c r="D4" s="45" t="s">
        <v>13</v>
      </c>
      <c r="E4" s="46">
        <v>0.6</v>
      </c>
    </row>
    <row r="5" spans="2:7" ht="16.5" thickBot="1" x14ac:dyDescent="0.3">
      <c r="B5" s="44" t="str">
        <f t="shared" si="0"/>
        <v>Conservador-Híbrido</v>
      </c>
      <c r="C5" s="45" t="s">
        <v>19</v>
      </c>
      <c r="D5" s="45" t="s">
        <v>41</v>
      </c>
      <c r="E5" s="46">
        <v>0.05</v>
      </c>
    </row>
    <row r="6" spans="2:7" ht="16.5" thickBot="1" x14ac:dyDescent="0.3">
      <c r="B6" s="44" t="str">
        <f t="shared" si="0"/>
        <v>Conservador-FOFs</v>
      </c>
      <c r="C6" s="45" t="s">
        <v>19</v>
      </c>
      <c r="D6" s="45" t="s">
        <v>14</v>
      </c>
      <c r="E6" s="46">
        <v>0.05</v>
      </c>
    </row>
    <row r="7" spans="2:7" ht="16.5" thickBot="1" x14ac:dyDescent="0.3">
      <c r="B7" s="44" t="str">
        <f t="shared" si="0"/>
        <v>Conservador-Desenvolvimento</v>
      </c>
      <c r="C7" s="45" t="s">
        <v>19</v>
      </c>
      <c r="D7" s="45" t="s">
        <v>15</v>
      </c>
      <c r="E7" s="46">
        <v>0</v>
      </c>
      <c r="G7" s="32"/>
    </row>
    <row r="8" spans="2:7" ht="16.5" thickBot="1" x14ac:dyDescent="0.3">
      <c r="B8" s="44" t="str">
        <f t="shared" si="0"/>
        <v>Conservador-Hotelarias</v>
      </c>
      <c r="C8" s="45" t="s">
        <v>19</v>
      </c>
      <c r="D8" s="45" t="s">
        <v>16</v>
      </c>
      <c r="E8" s="46">
        <v>0</v>
      </c>
    </row>
    <row r="9" spans="2:7" ht="16.5" thickBot="1" x14ac:dyDescent="0.3">
      <c r="B9" s="44" t="str">
        <f>C9&amp;"-"&amp;D9</f>
        <v>Moderado-Papel</v>
      </c>
      <c r="C9" s="45" t="s">
        <v>20</v>
      </c>
      <c r="D9" s="45" t="s">
        <v>12</v>
      </c>
      <c r="E9" s="46">
        <v>0.32</v>
      </c>
    </row>
    <row r="10" spans="2:7" ht="16.5" thickBot="1" x14ac:dyDescent="0.3">
      <c r="B10" s="44" t="str">
        <f>C10&amp;"-"&amp;D10</f>
        <v>Moderado-Tijolo</v>
      </c>
      <c r="C10" s="45" t="s">
        <v>20</v>
      </c>
      <c r="D10" s="45" t="s">
        <v>13</v>
      </c>
      <c r="E10" s="46">
        <v>0.35</v>
      </c>
    </row>
    <row r="11" spans="2:7" ht="16.5" thickBot="1" x14ac:dyDescent="0.3">
      <c r="B11" s="44" t="str">
        <f>C11&amp;"-"&amp;D11</f>
        <v>Moderado-Híbrido</v>
      </c>
      <c r="C11" s="45" t="s">
        <v>20</v>
      </c>
      <c r="D11" s="45" t="s">
        <v>41</v>
      </c>
      <c r="E11" s="46">
        <v>0.08</v>
      </c>
    </row>
    <row r="12" spans="2:7" ht="16.5" thickBot="1" x14ac:dyDescent="0.3">
      <c r="B12" s="44" t="str">
        <f t="shared" si="0"/>
        <v>Moderado-FOFs</v>
      </c>
      <c r="C12" s="45" t="s">
        <v>20</v>
      </c>
      <c r="D12" s="45" t="s">
        <v>14</v>
      </c>
      <c r="E12" s="46">
        <v>0.05</v>
      </c>
    </row>
    <row r="13" spans="2:7" ht="16.5" thickBot="1" x14ac:dyDescent="0.3">
      <c r="B13" s="44" t="str">
        <f t="shared" si="0"/>
        <v>Moderado-Desenvolvimento</v>
      </c>
      <c r="C13" s="45" t="s">
        <v>20</v>
      </c>
      <c r="D13" s="45" t="s">
        <v>15</v>
      </c>
      <c r="E13" s="46">
        <v>0.1</v>
      </c>
    </row>
    <row r="14" spans="2:7" ht="16.5" thickBot="1" x14ac:dyDescent="0.3">
      <c r="B14" s="44" t="str">
        <f t="shared" si="0"/>
        <v>Moderado-Hotelarias</v>
      </c>
      <c r="C14" s="45" t="s">
        <v>20</v>
      </c>
      <c r="D14" s="45" t="s">
        <v>16</v>
      </c>
      <c r="E14" s="46">
        <v>0.1</v>
      </c>
    </row>
    <row r="15" spans="2:7" ht="16.5" thickBot="1" x14ac:dyDescent="0.3">
      <c r="B15" s="44" t="str">
        <f t="shared" si="0"/>
        <v>Agressivo-Papel</v>
      </c>
      <c r="C15" s="45" t="s">
        <v>10</v>
      </c>
      <c r="D15" s="45" t="s">
        <v>12</v>
      </c>
      <c r="E15" s="46">
        <v>0.2</v>
      </c>
    </row>
    <row r="16" spans="2:7" ht="16.5" thickBot="1" x14ac:dyDescent="0.3">
      <c r="B16" s="44" t="str">
        <f t="shared" si="0"/>
        <v>Agressivo-Tijolo</v>
      </c>
      <c r="C16" s="45" t="s">
        <v>10</v>
      </c>
      <c r="D16" s="45" t="s">
        <v>13</v>
      </c>
      <c r="E16" s="46">
        <v>0.1</v>
      </c>
    </row>
    <row r="17" spans="2:5" ht="16.5" thickBot="1" x14ac:dyDescent="0.3">
      <c r="B17" s="44" t="str">
        <f t="shared" si="0"/>
        <v>Agressivo-Híbrido</v>
      </c>
      <c r="C17" s="45" t="s">
        <v>10</v>
      </c>
      <c r="D17" s="45" t="s">
        <v>41</v>
      </c>
      <c r="E17" s="46">
        <v>0.05</v>
      </c>
    </row>
    <row r="18" spans="2:5" ht="16.5" thickBot="1" x14ac:dyDescent="0.3">
      <c r="B18" s="44" t="str">
        <f t="shared" si="0"/>
        <v>Agressivo-FOFs</v>
      </c>
      <c r="C18" s="45" t="s">
        <v>10</v>
      </c>
      <c r="D18" s="45" t="s">
        <v>14</v>
      </c>
      <c r="E18" s="46">
        <v>0.05</v>
      </c>
    </row>
    <row r="19" spans="2:5" ht="16.5" thickBot="1" x14ac:dyDescent="0.3">
      <c r="B19" s="44" t="str">
        <f t="shared" si="0"/>
        <v>Agressivo-Desenvolvimento</v>
      </c>
      <c r="C19" s="45" t="s">
        <v>10</v>
      </c>
      <c r="D19" s="45" t="s">
        <v>15</v>
      </c>
      <c r="E19" s="46">
        <v>0.5</v>
      </c>
    </row>
    <row r="20" spans="2:5" ht="16.5" thickBot="1" x14ac:dyDescent="0.3">
      <c r="B20" s="47" t="str">
        <f t="shared" si="0"/>
        <v>Agressivo-Hotelarias</v>
      </c>
      <c r="C20" s="48" t="s">
        <v>10</v>
      </c>
      <c r="D20" s="48" t="s">
        <v>16</v>
      </c>
      <c r="E20" s="49">
        <v>0.1</v>
      </c>
    </row>
    <row r="21" spans="2:5" ht="15.75" thickTop="1" x14ac:dyDescent="0.25"/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6</vt:i4>
      </vt:variant>
    </vt:vector>
  </HeadingPairs>
  <TitlesOfParts>
    <vt:vector size="8" baseType="lpstr">
      <vt:lpstr>Simulador</vt:lpstr>
      <vt:lpstr>Chaves_Perfil_Investidor</vt:lpstr>
      <vt:lpstr>aporte_inicial</vt:lpstr>
      <vt:lpstr>aporte_mensal</vt:lpstr>
      <vt:lpstr>perfil_investidor</vt:lpstr>
      <vt:lpstr>rendimento_carteira</vt:lpstr>
      <vt:lpstr>salario</vt:lpstr>
      <vt:lpstr>tempo_investimento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Henrique Horta Nunes</dc:creator>
  <cp:lastModifiedBy>Paulo Henrique Horta Nunes</cp:lastModifiedBy>
  <dcterms:created xsi:type="dcterms:W3CDTF">2015-06-05T18:19:34Z</dcterms:created>
  <dcterms:modified xsi:type="dcterms:W3CDTF">2026-01-17T05:48:27Z</dcterms:modified>
</cp:coreProperties>
</file>